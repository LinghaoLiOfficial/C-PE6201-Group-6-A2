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b3506ad7a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5b1a95a0e94629"/>
    <x:sheet xmlns:r="http://schemas.openxmlformats.org/officeDocument/2006/relationships" name="Sensitivity" sheetId="2" r:id="R6ad31a1b96004d62"/>
    <x:sheet xmlns:r="http://schemas.openxmlformats.org/officeDocument/2006/relationships" name="Evidence" sheetId="3" r:id="R8f803179e21244b7"/>
    <x:sheet xmlns:r="http://schemas.openxmlformats.org/officeDocument/2006/relationships" name="Inputs" sheetId="4" r:id="Rc7b182a80696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&quot;$&quot;#,##0.00"/>
    <x:numFmt numFmtId="202" formatCode="&quot;$&quot;0.0000"/>
    <x:numFmt numFmtId="203" formatCode="&quot;$&quot;0.000000"/>
    <x:numFmt numFmtId="204" formatCode="0.00%"/>
    <x:numFmt numFmtId="205" formatCode="0.00"/>
    <x:numFmt numFmtId="206" formatCode="+0;-0;0"/>
  </x:numFmts>
  <x:fonts count="10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17365D"/>
      <x:name val="Arial"/>
    </x:font>
    <x:font>
      <x:b/>
      <x:sz val="10"/>
      <x:color rgb="FF000000"/>
      <x:name val="Arial"/>
    </x:font>
    <x:font>
      <x:b/>
      <x:sz val="11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aa91c806f4a94" /><Relationship Type="http://schemas.openxmlformats.org/officeDocument/2006/relationships/theme" Target="/xl/theme/theme1.xml" Id="R2eaa5a6134ef4b59" /><Relationship Type="http://schemas.openxmlformats.org/officeDocument/2006/relationships/sharedStrings" Target="/xl/sharedStrings.xml" Id="Rb537ee7686c04908" /><Relationship Type="http://schemas.openxmlformats.org/officeDocument/2006/relationships/worksheet" Target="/xl/worksheets/sheet1.xml" Id="Ree5b1a95a0e94629" /><Relationship Type="http://schemas.openxmlformats.org/officeDocument/2006/relationships/worksheet" Target="/xl/worksheets/sheet2.xml" Id="R6ad31a1b96004d62" /><Relationship Type="http://schemas.openxmlformats.org/officeDocument/2006/relationships/worksheet" Target="/xl/worksheets/sheet3.xml" Id="R8f803179e21244b7" /><Relationship Type="http://schemas.openxmlformats.org/officeDocument/2006/relationships/worksheet" Target="/xl/worksheets/sheet4.xml" Id="Rc7b182a8069649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8" hidden="0" customHeight="1">
      <x:c r="A2" s="4" t="str">
        <x:v>Problem A cost-to-serve summary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 ht="15" hidden="0" customHeight="1">
      <x:c r="A4" s="36" t="str">
        <x:v>Recommended configuration</x:v>
      </x:c>
      <x:c r="B4" s="37" t="str">
        <x:f>'Inputs'!B10&amp;" "&amp;'Inputs'!C10</x:f>
        <x:v>deepseek/deepseek-v3.2 v2</x:v>
      </x:c>
      <x:c r="C4" s="2"/>
      <x:c r="D4" s="2"/>
      <x:c r="E4" s="2"/>
      <x:c r="F4" s="2"/>
      <x:c r="G4" s="2"/>
      <x:c r="H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</x:row>
    <x:row r="6" ht="42" hidden="0" customHeight="1">
      <x:c r="A6" s="19" t="str">
        <x:v>Success rate</x:v>
      </x:c>
      <x:c r="B6" s="20" t="str">
        <x:v>Layer 1 / task</x:v>
      </x:c>
      <x:c r="C6" s="20" t="str">
        <x:v>Layer 2 / task</x:v>
      </x:c>
      <x:c r="D6" s="20" t="str">
        <x:v>All-in before Layer 3</x:v>
      </x:c>
      <x:c r="E6" s="20" t="str">
        <x:v>Monthly before Layer 3</x:v>
      </x:c>
      <x:c r="F6" s="20" t="str">
        <x:v>Qwen break-even vs Claude</x:v>
      </x:c>
      <x:c r="G6" s="20" t="str">
        <x:v>Layer 3 base</x:v>
      </x:c>
      <x:c r="H6" s="21" t="str">
        <x:v>Monthly total</x:v>
      </x:c>
    </x:row>
    <x:row r="7" ht="15" hidden="0" customHeight="1">
      <x:c r="A7" s="39" t="n">
        <x:f>'Inputs'!O10</x:f>
        <x:v>0.9466666666666667</x:v>
      </x:c>
      <x:c r="B7" s="40" t="n">
        <x:f>'Inputs'!Q10</x:f>
        <x:v>0.0037714822666666667</x:v>
      </x:c>
      <x:c r="C7" s="40" t="n">
        <x:f>'Inputs'!R10</x:f>
        <x:v>0.4053333333333334</x:v>
      </x:c>
      <x:c r="D7" s="40" t="n">
        <x:f>'Inputs'!S10</x:f>
        <x:v>0.40910481560000006</x:v>
      </x:c>
      <x:c r="E7" s="41" t="n">
        <x:f>'Inputs'!S10*'Inputs'!$B$4</x:f>
        <x:v>3272.8385248000004</x:v>
      </x:c>
      <x:c r="F7" s="39" t="n">
        <x:f>1-('Inputs'!S15-'Inputs'!Q13)/'Inputs'!$B$5</x:f>
        <x:v>0.3710818265131578</x:v>
      </x:c>
      <x:c r="G7" s="41" t="n">
        <x:f>'Inputs'!$B$6</x:f>
        <x:v>200</x:v>
      </x:c>
      <x:c r="H7" s="41" t="n">
        <x:f>E7+G7</x:f>
        <x:v>3472.8385248000004</x:v>
      </x:c>
    </x:row>
    <x:row r="8" ht="15" hidden="0" customHeight="1">
      <x:c r="A8" s="2"/>
      <x:c r="B8" s="2"/>
      <x:c r="C8" s="2"/>
      <x:c r="D8" s="2"/>
      <x:c r="E8" s="2"/>
      <x:c r="F8" s="2"/>
      <x:c r="G8" s="2"/>
      <x:c r="H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</x:row>
    <x:row r="10" ht="42" hidden="0" customHeight="1">
      <x:c r="A10" s="19" t="str">
        <x:v>Model</x:v>
      </x:c>
      <x:c r="B10" s="20" t="str">
        <x:v>Prompt</x:v>
      </x:c>
      <x:c r="C10" s="20" t="str">
        <x:v>Success</x:v>
      </x:c>
      <x:c r="D10" s="20" t="str">
        <x:v>Layer 1 / task</x:v>
      </x:c>
      <x:c r="E10" s="20" t="str">
        <x:v>Layer 2 / task</x:v>
      </x:c>
      <x:c r="F10" s="20" t="str">
        <x:v>All-in before Layer 3</x:v>
      </x:c>
      <x:c r="G10" s="21" t="str">
        <x:v>Monthly total with Layer 3</x:v>
      </x:c>
      <x:c r="H10" s="2"/>
    </x:row>
    <x:row r="11" ht="15" hidden="0" customHeight="1">
      <x:c r="A11" s="35" t="str">
        <x:f>'Inputs'!B10</x:f>
        <x:v>deepseek/deepseek-v3.2</x:v>
      </x:c>
      <x:c r="B11" s="35" t="str">
        <x:f>'Inputs'!C10</x:f>
        <x:v>v2</x:v>
      </x:c>
      <x:c r="C11" s="45" t="n">
        <x:f>'Inputs'!O10</x:f>
        <x:v>0.9466666666666667</x:v>
      </x:c>
      <x:c r="D11" s="46" t="n">
        <x:f>'Inputs'!Q10</x:f>
        <x:v>0.0037714822666666667</x:v>
      </x:c>
      <x:c r="E11" s="46" t="n">
        <x:f>'Inputs'!R10</x:f>
        <x:v>0.4053333333333334</x:v>
      </x:c>
      <x:c r="F11" s="46" t="n">
        <x:f>'Inputs'!S10</x:f>
        <x:v>0.40910481560000006</x:v>
      </x:c>
      <x:c r="G11" s="47" t="n">
        <x:f>'Inputs'!S10*'Inputs'!$B$4+'Inputs'!$B$6</x:f>
        <x:v>3472.8385248000004</x:v>
      </x:c>
      <x:c r="H11" s="2"/>
    </x:row>
    <x:row r="12" ht="15" hidden="0" customHeight="1">
      <x:c r="A12" s="2" t="str">
        <x:f>'Inputs'!B11</x:f>
        <x:v>deepseek/deepseek-v3.2</x:v>
      </x:c>
      <x:c r="B12" s="2" t="str">
        <x:f>'Inputs'!C11</x:f>
        <x:v>v1</x:v>
      </x:c>
      <x:c r="C12" s="42" t="n">
        <x:f>'Inputs'!O11</x:f>
        <x:v>0.8533333333333334</x:v>
      </x:c>
      <x:c r="D12" s="43" t="n">
        <x:f>'Inputs'!Q11</x:f>
        <x:v>0.003885314746666667</x:v>
      </x:c>
      <x:c r="E12" s="43" t="n">
        <x:f>'Inputs'!R11</x:f>
        <x:v>1.1146666666666663</x:v>
      </x:c>
      <x:c r="F12" s="43" t="n">
        <x:f>'Inputs'!S11</x:f>
        <x:v>1.118551981413333</x:v>
      </x:c>
      <x:c r="G12" s="44" t="n">
        <x:f>'Inputs'!S11*'Inputs'!$B$4+'Inputs'!$B$6</x:f>
        <x:v>9148.415851306663</x:v>
      </x:c>
      <x:c r="H12" s="2"/>
    </x:row>
    <x:row r="13" ht="15" hidden="0" customHeight="1">
      <x:c r="A13" s="2" t="str">
        <x:f>'Inputs'!B12</x:f>
        <x:v>google/gemini-2.5-flash-lite</x:v>
      </x:c>
      <x:c r="B13" s="2" t="str">
        <x:f>'Inputs'!C12</x:f>
        <x:v>v2</x:v>
      </x:c>
      <x:c r="C13" s="42" t="n">
        <x:f>'Inputs'!O12</x:f>
        <x:v>0.04</x:v>
      </x:c>
      <x:c r="D13" s="43" t="n">
        <x:f>'Inputs'!Q12</x:f>
        <x:v>0.0019613666666666667</x:v>
      </x:c>
      <x:c r="E13" s="43" t="n">
        <x:f>'Inputs'!R12</x:f>
        <x:v>7.295999999999999</x:v>
      </x:c>
      <x:c r="F13" s="43" t="n">
        <x:f>'Inputs'!S12</x:f>
        <x:v>7.297961366666666</x:v>
      </x:c>
      <x:c r="G13" s="44" t="n">
        <x:f>'Inputs'!S12*'Inputs'!$B$4+'Inputs'!$B$6</x:f>
        <x:v>58583.690933333324</x:v>
      </x:c>
      <x:c r="H13" s="2"/>
    </x:row>
    <x:row r="14" ht="15" hidden="0" customHeight="1">
      <x:c r="A14" s="2" t="str">
        <x:f>'Inputs'!B13</x:f>
        <x:v>qwen/qwen3-235b-a22b-2507</x:v>
      </x:c>
      <x:c r="B14" s="2" t="str">
        <x:f>'Inputs'!C13</x:f>
        <x:v>v2</x:v>
      </x:c>
      <x:c r="C14" s="42" t="n">
        <x:f>'Inputs'!O13</x:f>
        <x:v>0.14666666666666667</x:v>
      </x:c>
      <x:c r="D14" s="43" t="n">
        <x:f>'Inputs'!Q13</x:f>
        <x:v>0.0009716548333333333</x:v>
      </x:c>
      <x:c r="E14" s="43" t="n">
        <x:f>'Inputs'!R13</x:f>
        <x:v>6.485333333333332</x:v>
      </x:c>
      <x:c r="F14" s="43" t="n">
        <x:f>'Inputs'!S13</x:f>
        <x:v>6.4863049881666655</x:v>
      </x:c>
      <x:c r="G14" s="44" t="n">
        <x:f>'Inputs'!S13*'Inputs'!$B$4+'Inputs'!$B$6</x:f>
        <x:v>52090.439905333325</x:v>
      </x:c>
      <x:c r="H14" s="2"/>
    </x:row>
    <x:row r="15" ht="15" hidden="0" customHeight="1">
      <x:c r="A15" s="2" t="str">
        <x:f>'Inputs'!B14</x:f>
        <x:v>mistralai/mistral-small-3.2-24b-instruct</x:v>
      </x:c>
      <x:c r="B15" s="2" t="str">
        <x:f>'Inputs'!C14</x:f>
        <x:v>v2</x:v>
      </x:c>
      <x:c r="C15" s="42" t="n">
        <x:f>'Inputs'!O14</x:f>
        <x:v>0.30666666666666664</x:v>
      </x:c>
      <x:c r="D15" s="43" t="n">
        <x:f>'Inputs'!Q14</x:f>
        <x:v>0.0011549745833333333</x:v>
      </x:c>
      <x:c r="E15" s="43" t="n">
        <x:f>'Inputs'!R14</x:f>
        <x:v>5.269333333333333</x:v>
      </x:c>
      <x:c r="F15" s="43" t="n">
        <x:f>'Inputs'!S14</x:f>
        <x:v>5.270488307916667</x:v>
      </x:c>
      <x:c r="G15" s="44" t="n">
        <x:f>'Inputs'!S14*'Inputs'!$B$4+'Inputs'!$B$6</x:f>
        <x:v>42363.90646333333</x:v>
      </x:c>
      <x:c r="H15" s="2"/>
    </x:row>
    <x:row r="16" ht="15" hidden="0" customHeight="1">
      <x:c r="A16" s="2" t="str">
        <x:f>'Inputs'!B15</x:f>
        <x:v>anthropic/claude-haiku-4.5</x:v>
      </x:c>
      <x:c r="B16" s="2" t="str">
        <x:f>'Inputs'!C15</x:f>
        <x:v>v2</x:v>
      </x:c>
      <x:c r="C16" s="42" t="n">
        <x:f>'Inputs'!O15</x:f>
        <x:v>0.37333333333333335</x:v>
      </x:c>
      <x:c r="D16" s="43" t="n">
        <x:f>'Inputs'!Q15</x:f>
        <x:v>0.018083106666666668</x:v>
      </x:c>
      <x:c r="E16" s="43" t="n">
        <x:f>'Inputs'!R15</x:f>
        <x:v>4.762666666666667</x:v>
      </x:c>
      <x:c r="F16" s="43" t="n">
        <x:f>'Inputs'!S15</x:f>
        <x:v>4.7807497733333335</x:v>
      </x:c>
      <x:c r="G16" s="44" t="n">
        <x:f>'Inputs'!S15*'Inputs'!$B$4+'Inputs'!$B$6</x:f>
        <x:v>38445.99818666667</x:v>
      </x:c>
      <x:c r="H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</x:row>
    <x:row r="18" ht="15" hidden="0" customHeight="1">
      <x:c r="A18" s="30" t="str">
        <x:v>Decision note</x:v>
      </x:c>
      <x:c r="B18" s="48" t="str">
        <x:v>Fallback cost dominates. DeepSeek v3.2 v2 remains lowest under the $200/month Layer 3 base and a 10 percentage-point success downside.</x:v>
      </x:c>
      <x:c r="C18" s="48"/>
      <x:c r="D18" s="48"/>
      <x:c r="E18" s="48"/>
      <x:c r="F18" s="48"/>
      <x:c r="G18" s="48"/>
      <x:c r="H18" s="48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8" hidden="0" customHeight="1">
      <x:c r="A2" s="4" t="str">
        <x:v>Sensitivity analysis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 ht="15" hidden="0" customHeight="1">
      <x:c r="A4" s="31" t="str">
        <x:v>Success-rate sensitivity: recommended configuration</x:v>
      </x:c>
      <x:c r="B4" s="32" t="str"/>
      <x:c r="C4" s="32" t="str"/>
      <x:c r="D4" s="32" t="str"/>
      <x:c r="E4" s="32" t="str"/>
      <x:c r="F4" s="33" t="str"/>
      <x:c r="G4" s="2"/>
      <x:c r="H4" s="2"/>
    </x:row>
    <x:row r="5" ht="15" hidden="0" customHeight="1">
      <x:c r="A5" s="19" t="str">
        <x:v>Change (pp)</x:v>
      </x:c>
      <x:c r="B5" s="20" t="str">
        <x:v>Success rate</x:v>
      </x:c>
      <x:c r="C5" s="20" t="str">
        <x:v>Layer 1 / task</x:v>
      </x:c>
      <x:c r="D5" s="20" t="str">
        <x:v>Fallback / task</x:v>
      </x:c>
      <x:c r="E5" s="20" t="str">
        <x:v>All-in incl. Layer 3</x:v>
      </x:c>
      <x:c r="F5" s="21" t="str">
        <x:v>Monthly total incl. Layer 3</x:v>
      </x:c>
      <x:c r="G5" s="2"/>
      <x:c r="H5" s="2"/>
    </x:row>
    <x:row r="6" ht="15" hidden="0" customHeight="1">
      <x:c r="A6" s="49" t="n">
        <x:v>-10</x:v>
      </x:c>
      <x:c r="B6" s="42" t="n">
        <x:f>MIN(1,MAX(0,'Inputs'!$O$10+A6/100))</x:f>
        <x:v>0.8466666666666667</x:v>
      </x:c>
      <x:c r="C6" s="43" t="n">
        <x:f>'Inputs'!$Q$10</x:f>
        <x:v>0.0037714822666666667</x:v>
      </x:c>
      <x:c r="D6" s="43" t="n">
        <x:f>(1-B6)*'Inputs'!$B$5</x:f>
        <x:v>1.165333333333333</x:v>
      </x:c>
      <x:c r="E6" s="43" t="n">
        <x:f>C6+D6+'Inputs'!$B$6/'Inputs'!$B$4</x:f>
        <x:v>1.1941048155999996</x:v>
      </x:c>
      <x:c r="F6" s="44" t="n">
        <x:f>(C6+D6)*'Inputs'!$B$4+'Inputs'!$B$6</x:f>
        <x:v>9552.838524799998</x:v>
      </x:c>
      <x:c r="G6" s="2"/>
      <x:c r="H6" s="2"/>
    </x:row>
    <x:row r="7" ht="15" hidden="0" customHeight="1">
      <x:c r="A7" s="49" t="n">
        <x:v>-5</x:v>
      </x:c>
      <x:c r="B7" s="42" t="n">
        <x:f>MIN(1,MAX(0,'Inputs'!$O$10+A7/100))</x:f>
        <x:v>0.8966666666666666</x:v>
      </x:c>
      <x:c r="C7" s="43" t="n">
        <x:f>'Inputs'!$Q$10</x:f>
        <x:v>0.0037714822666666667</x:v>
      </x:c>
      <x:c r="D7" s="43" t="n">
        <x:f>(1-B7)*'Inputs'!$B$5</x:f>
        <x:v>0.7853333333333337</x:v>
      </x:c>
      <x:c r="E7" s="43" t="n">
        <x:f>C7+D7+'Inputs'!$B$6/'Inputs'!$B$4</x:f>
        <x:v>0.8141048156000004</x:v>
      </x:c>
      <x:c r="F7" s="44" t="n">
        <x:f>(C7+D7)*'Inputs'!$B$4+'Inputs'!$B$6</x:f>
        <x:v>6512.838524800003</x:v>
      </x:c>
      <x:c r="G7" s="2"/>
      <x:c r="H7" s="2"/>
    </x:row>
    <x:row r="8" ht="15" hidden="0" customHeight="1">
      <x:c r="A8" s="49" t="n">
        <x:v>0</x:v>
      </x:c>
      <x:c r="B8" s="42" t="n">
        <x:f>MIN(1,MAX(0,'Inputs'!$O$10+A8/100))</x:f>
        <x:v>0.9466666666666667</x:v>
      </x:c>
      <x:c r="C8" s="43" t="n">
        <x:f>'Inputs'!$Q$10</x:f>
        <x:v>0.0037714822666666667</x:v>
      </x:c>
      <x:c r="D8" s="43" t="n">
        <x:f>(1-B8)*'Inputs'!$B$5</x:f>
        <x:v>0.4053333333333334</x:v>
      </x:c>
      <x:c r="E8" s="43" t="n">
        <x:f>C8+D8+'Inputs'!$B$6/'Inputs'!$B$4</x:f>
        <x:v>0.4341048156000001</x:v>
      </x:c>
      <x:c r="F8" s="44" t="n">
        <x:f>(C8+D8)*'Inputs'!$B$4+'Inputs'!$B$6</x:f>
        <x:v>3472.8385248000004</x:v>
      </x:c>
      <x:c r="G8" s="2"/>
      <x:c r="H8" s="2"/>
    </x:row>
    <x:row r="9" ht="15" hidden="0" customHeight="1">
      <x:c r="A9" s="49" t="n">
        <x:v>5</x:v>
      </x:c>
      <x:c r="B9" s="42" t="n">
        <x:f>MIN(1,MAX(0,'Inputs'!$O$10+A9/100))</x:f>
        <x:v>0.9966666666666667</x:v>
      </x:c>
      <x:c r="C9" s="43" t="n">
        <x:f>'Inputs'!$Q$10</x:f>
        <x:v>0.0037714822666666667</x:v>
      </x:c>
      <x:c r="D9" s="43" t="n">
        <x:f>(1-B9)*'Inputs'!$B$5</x:f>
        <x:v>0.025333333333333072</x:v>
      </x:c>
      <x:c r="E9" s="43" t="n">
        <x:f>C9+D9+'Inputs'!$B$6/'Inputs'!$B$4</x:f>
        <x:v>0.054104815599999745</x:v>
      </x:c>
      <x:c r="F9" s="44" t="n">
        <x:f>(C9+D9)*'Inputs'!$B$4+'Inputs'!$B$6</x:f>
        <x:v>432.8385247999979</x:v>
      </x:c>
      <x:c r="G9" s="2"/>
      <x:c r="H9" s="2"/>
    </x:row>
    <x:row r="10" ht="15" hidden="0" customHeight="1">
      <x:c r="A10" s="49" t="n">
        <x:v>10</x:v>
      </x:c>
      <x:c r="B10" s="42" t="n">
        <x:f>MIN(1,MAX(0,'Inputs'!$O$10+A10/100))</x:f>
        <x:v>1</x:v>
      </x:c>
      <x:c r="C10" s="43" t="n">
        <x:f>'Inputs'!$Q$10</x:f>
        <x:v>0.0037714822666666667</x:v>
      </x:c>
      <x:c r="D10" s="43" t="n">
        <x:f>(1-B10)*'Inputs'!$B$5</x:f>
        <x:v>0</x:v>
      </x:c>
      <x:c r="E10" s="43" t="n">
        <x:f>C10+D10+'Inputs'!$B$6/'Inputs'!$B$4</x:f>
        <x:v>0.02877148226666667</x:v>
      </x:c>
      <x:c r="F10" s="44" t="n">
        <x:f>(C10+D10)*'Inputs'!$B$4+'Inputs'!$B$6</x:f>
        <x:v>230.17185813333333</x:v>
      </x:c>
      <x:c r="G10" s="2"/>
      <x:c r="H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</x:row>
    <x:row r="12" ht="15" hidden="0" customHeight="1">
      <x:c r="A12" s="31" t="str">
        <x:v>Layer 3 scenarios: recommended configuration</x:v>
      </x:c>
      <x:c r="B12" s="32" t="str"/>
      <x:c r="C12" s="32" t="str"/>
      <x:c r="D12" s="32" t="str"/>
      <x:c r="E12" s="33" t="str"/>
      <x:c r="F12" s="2"/>
      <x:c r="G12" s="2"/>
      <x:c r="H12" s="2"/>
    </x:row>
    <x:row r="13" ht="15" hidden="0" customHeight="1">
      <x:c r="A13" s="19" t="str">
        <x:v>Scenario</x:v>
      </x:c>
      <x:c r="B13" s="20" t="str">
        <x:v>Fixed monthly cost</x:v>
      </x:c>
      <x:c r="C13" s="20" t="str">
        <x:v>Monthly before Layer 3</x:v>
      </x:c>
      <x:c r="D13" s="20" t="str">
        <x:v>Monthly total</x:v>
      </x:c>
      <x:c r="E13" s="21" t="str">
        <x:v>All-in / task</x:v>
      </x:c>
      <x:c r="F13" s="2"/>
      <x:c r="G13" s="2"/>
      <x:c r="H13" s="2"/>
    </x:row>
    <x:row r="14" ht="15" hidden="0" customHeight="1">
      <x:c r="A14" s="2" t="str">
        <x:v>No fixed cost</x:v>
      </x:c>
      <x:c r="B14" s="44" t="n">
        <x:v>0</x:v>
      </x:c>
      <x:c r="C14" s="44" t="n">
        <x:f>'Inputs'!$S$10*'Inputs'!$B$4</x:f>
        <x:v>3272.8385248000004</x:v>
      </x:c>
      <x:c r="D14" s="44" t="n">
        <x:f>C14+B14</x:f>
        <x:v>3272.8385248000004</x:v>
      </x:c>
      <x:c r="E14" s="44" t="n">
        <x:f>D14/'Inputs'!$B$4</x:f>
        <x:v>0.40910481560000006</x:v>
      </x:c>
      <x:c r="F14" s="2"/>
      <x:c r="G14" s="2"/>
      <x:c r="H14" s="2"/>
    </x:row>
    <x:row r="15" ht="15" hidden="0" customHeight="1">
      <x:c r="A15" s="2" t="str">
        <x:v>Low scenario</x:v>
      </x:c>
      <x:c r="B15" s="44" t="n">
        <x:v>100</x:v>
      </x:c>
      <x:c r="C15" s="44" t="n">
        <x:f>'Inputs'!$S$10*'Inputs'!$B$4</x:f>
        <x:v>3272.8385248000004</x:v>
      </x:c>
      <x:c r="D15" s="44" t="n">
        <x:f>C15+B15</x:f>
        <x:v>3372.8385248000004</x:v>
      </x:c>
      <x:c r="E15" s="44" t="n">
        <x:f>D15/'Inputs'!$B$4</x:f>
        <x:v>0.42160481560000007</x:v>
      </x:c>
      <x:c r="F15" s="2"/>
      <x:c r="G15" s="2"/>
      <x:c r="H15" s="2"/>
    </x:row>
    <x:row r="16" ht="15" hidden="0" customHeight="1">
      <x:c r="A16" s="2" t="str">
        <x:v>Approved base</x:v>
      </x:c>
      <x:c r="B16" s="44" t="n">
        <x:v>200</x:v>
      </x:c>
      <x:c r="C16" s="44" t="n">
        <x:f>'Inputs'!$S$10*'Inputs'!$B$4</x:f>
        <x:v>3272.8385248000004</x:v>
      </x:c>
      <x:c r="D16" s="44" t="n">
        <x:f>C16+B16</x:f>
        <x:v>3472.8385248000004</x:v>
      </x:c>
      <x:c r="E16" s="44" t="n">
        <x:f>D16/'Inputs'!$B$4</x:f>
        <x:v>0.4341048156</x:v>
      </x:c>
      <x:c r="F16" s="2"/>
      <x:c r="G16" s="2"/>
      <x:c r="H16" s="2"/>
    </x:row>
    <x:row r="17" ht="15" hidden="0" customHeight="1">
      <x:c r="A17" s="2" t="str">
        <x:v>Higher scenario</x:v>
      </x:c>
      <x:c r="B17" s="44" t="n">
        <x:v>500</x:v>
      </x:c>
      <x:c r="C17" s="44" t="n">
        <x:f>'Inputs'!$S$10*'Inputs'!$B$4</x:f>
        <x:v>3272.8385248000004</x:v>
      </x:c>
      <x:c r="D17" s="44" t="n">
        <x:f>C17+B17</x:f>
        <x:v>3772.8385248000004</x:v>
      </x:c>
      <x:c r="E17" s="44" t="n">
        <x:f>D17/'Inputs'!$B$4</x:f>
        <x:v>0.47160481560000006</x:v>
      </x:c>
      <x:c r="F17" s="2"/>
      <x:c r="G17" s="2"/>
      <x:c r="H17" s="2"/>
    </x:row>
    <x:row r="18" ht="15" hidden="0" customHeight="1">
      <x:c r="A18" s="2" t="str">
        <x:v>High scenario</x:v>
      </x:c>
      <x:c r="B18" s="44" t="n">
        <x:v>1000</x:v>
      </x:c>
      <x:c r="C18" s="44" t="n">
        <x:f>'Inputs'!$S$10*'Inputs'!$B$4</x:f>
        <x:v>3272.8385248000004</x:v>
      </x:c>
      <x:c r="D18" s="44" t="n">
        <x:f>C18+B18</x:f>
        <x:v>4272.8385248</x:v>
      </x:c>
      <x:c r="E18" s="44" t="n">
        <x:f>D18/'Inputs'!$B$4</x:f>
        <x:v>0.5341048156</x:v>
      </x:c>
      <x:c r="F18" s="2"/>
      <x:c r="G18" s="2"/>
      <x:c r="H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</x:row>
    <x:row r="20" ht="15" hidden="0" customHeight="1">
      <x:c r="A20" s="50" t="str">
        <x:v>Interpretation</x:v>
      </x:c>
      <x:c r="B20" s="34" t="str">
        <x:v>At −10 pp, DeepSeek v2 is $9,552.84/month including the $200 Layer 3 base and remains below every other measured base case.</x:v>
      </x:c>
      <x:c r="C20" s="34"/>
      <x:c r="D20" s="34"/>
      <x:c r="E20" s="34"/>
      <x:c r="F20" s="34"/>
      <x:c r="G20" s="2"/>
      <x:c r="H20" s="2"/>
    </x:row>
    <x:row r="21" ht="15" hidden="0" customHeight="1">
      <x:c r="A21" s="50" t="str">
        <x:v>Evidence boundary</x:v>
      </x:c>
      <x:c r="B21" s="34" t="str">
        <x:v>Layer 3 values are planning scenarios. The $200 base is owner-approved but is not a measured production invoice.</x:v>
      </x:c>
      <x:c r="C21" s="34"/>
      <x:c r="D21" s="34"/>
      <x:c r="E21" s="34"/>
      <x:c r="F21" s="34"/>
      <x:c r="G21" s="2"/>
      <x:c r="H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B20:F20"/>
    <x:mergeCell ref="B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15" hidden="0" customHeight="1">
      <x:c r="A1" s="2"/>
      <x:c r="B1" s="2"/>
      <x:c r="C1" s="2"/>
      <x:c r="D1" s="2"/>
      <x:c r="E1" s="2"/>
      <x:c r="F1" s="2"/>
    </x:row>
    <x:row r="2" ht="18" hidden="0" customHeight="1">
      <x:c r="A2" s="4" t="str">
        <x:v>Measured evidence and shipped controls</x:v>
      </x:c>
      <x:c r="B2" s="3"/>
      <x:c r="C2" s="3"/>
      <x:c r="D2" s="3"/>
      <x:c r="E2" s="3"/>
      <x:c r="F2" s="3"/>
    </x:row>
    <x:row r="3" ht="15" hidden="0" customHeight="1">
      <x:c r="A3" s="2"/>
      <x:c r="B3" s="2"/>
      <x:c r="C3" s="2"/>
      <x:c r="D3" s="2"/>
      <x:c r="E3" s="2"/>
      <x:c r="F3" s="2"/>
    </x:row>
    <x:row r="4" ht="15" hidden="0" customHeight="1">
      <x:c r="A4" s="19" t="str">
        <x:v>Lever</x:v>
      </x:c>
      <x:c r="B4" s="20" t="str">
        <x:v>Before</x:v>
      </x:c>
      <x:c r="C4" s="20" t="str">
        <x:v>After/current</x:v>
      </x:c>
      <x:c r="D4" s="20" t="str">
        <x:v>Turns/tokens change</x:v>
      </x:c>
      <x:c r="E4" s="20" t="str">
        <x:v>Cost/success change</x:v>
      </x:c>
      <x:c r="F4" s="21" t="str">
        <x:v>Status</x:v>
      </x:c>
    </x:row>
    <x:row r="5" ht="44" hidden="0" customHeight="1">
      <x:c r="A5" s="34" t="str">
        <x:v>Tool block size</x:v>
      </x:c>
      <x:c r="B5" s="34" t="str">
        <x:v>unavailable</x:v>
      </x:c>
      <x:c r="C5" s="34" t="str">
        <x:v>~300 prompt tokens</x:v>
      </x:c>
      <x:c r="D5" s="34" t="str">
        <x:v>unavailable</x:v>
      </x:c>
      <x:c r="E5" s="34" t="str">
        <x:v>unavailable</x:v>
      </x:c>
      <x:c r="F5" s="34" t="str">
        <x:v>CHEN confirmed no measured before/after comparison</x:v>
      </x:c>
    </x:row>
    <x:row r="6" ht="44" hidden="0" customHeight="1">
      <x:c r="A6" s="34" t="str">
        <x:v>Sequential vs parallel</x:v>
      </x:c>
      <x:c r="B6" s="34" t="str">
        <x:v>13 turns; 19,283 tokens</x:v>
      </x:c>
      <x:c r="C6" s="34" t="str">
        <x:v>4 turns; 7,505 tokens</x:v>
      </x:c>
      <x:c r="D6" s="34" t="str">
        <x:v>turns −69%; tokens −61%</x:v>
      </x:c>
      <x:c r="E6" s="34" t="str">
        <x:v>$0.0041 to $0.0017 (−58%)</x:v>
      </x:c>
      <x:c r="F6" s="34" t="str">
        <x:v>Single claim CLM-8842; same answer</x:v>
      </x:c>
    </x:row>
    <x:row r="7" ht="44" hidden="0" customHeight="1">
      <x:c r="A7" s="34" t="str">
        <x:v>Descriptor/observation design</x:v>
      </x:c>
      <x:c r="B7" s="34" t="str">
        <x:v>DeepSeek v1: 398 turns</x:v>
      </x:c>
      <x:c r="C7" s="34" t="str">
        <x:v>DeepSeek v2: 383 turns</x:v>
      </x:c>
      <x:c r="D7" s="34" t="str">
        <x:v>input −2.49%; output −7.32%</x:v>
      </x:c>
      <x:c r="E7" s="34" t="str">
        <x:v>spend −2.93%; success +9.33 pp</x:v>
      </x:c>
      <x:c r="F7" s="34" t="str">
        <x:v>Same model/75 trials; system-level evidence</x:v>
      </x:c>
    </x:row>
    <x:row r="8" ht="44" hidden="0" customHeight="1">
      <x:c r="A8" s="34" t="str">
        <x:v>Observation size direct measure</x:v>
      </x:c>
      <x:c r="B8" s="34" t="str">
        <x:v>unavailable</x:v>
      </x:c>
      <x:c r="C8" s="34" t="str">
        <x:v>unavailable</x:v>
      </x:c>
      <x:c r="D8" s="34" t="str">
        <x:v>unavailable</x:v>
      </x:c>
      <x:c r="E8" s="34" t="str">
        <x:v>unavailable</x:v>
      </x:c>
      <x:c r="F8" s="34" t="str">
        <x:v>ZHOU confirmed tokens returned per tool call were not measured</x:v>
      </x:c>
    </x:row>
    <x:row r="9" ht="44" hidden="0" customHeight="1">
      <x:c r="A9" s="34" t="str">
        <x:v>Success rate</x:v>
      </x:c>
      <x:c r="B9" s="34" t="str">
        <x:v>Frozen D5 base</x:v>
      </x:c>
      <x:c r="C9" s="34" t="str">
        <x:v>±5 and ±10 pp</x:v>
      </x:c>
      <x:c r="D9" s="34" t="str">
        <x:v>see Sensitivity</x:v>
      </x:c>
      <x:c r="E9" s="34" t="str">
        <x:v>fallback cost dominates</x:v>
      </x:c>
      <x:c r="F9" s="34" t="str">
        <x:v>Rates clipped to 0–100%</x:v>
      </x:c>
    </x:row>
    <x:row r="10" ht="15" hidden="0" customHeight="1">
      <x:c r="A10" s="2"/>
      <x:c r="B10" s="2"/>
      <x:c r="C10" s="2"/>
      <x:c r="D10" s="2"/>
      <x:c r="E10" s="2"/>
      <x:c r="F10" s="2"/>
    </x:row>
    <x:row r="11" ht="15" hidden="0" customHeight="1">
      <x:c r="A11" s="19" t="str">
        <x:v>Control</x:v>
      </x:c>
      <x:c r="B11" s="20" t="str">
        <x:v>Shipped value</x:v>
      </x:c>
      <x:c r="C11" s="21" t="str">
        <x:v>Status</x:v>
      </x:c>
      <x:c r="D11" s="2"/>
      <x:c r="E11" s="2"/>
      <x:c r="F11" s="2"/>
    </x:row>
    <x:row r="12" ht="15" hidden="0" customHeight="1">
      <x:c r="A12" s="2" t="str">
        <x:v>Step cap</x:v>
      </x:c>
      <x:c r="B12" s="2" t="str">
        <x:v>8 turns/run</x:v>
      </x:c>
      <x:c r="C12" s="2" t="str">
        <x:v>Available</x:v>
      </x:c>
      <x:c r="D12" s="2"/>
      <x:c r="E12" s="2"/>
      <x:c r="F12" s="2"/>
    </x:row>
    <x:row r="13" ht="15" hidden="0" customHeight="1">
      <x:c r="A13" s="2" t="str">
        <x:v>Per-run budget ceiling</x:v>
      </x:c>
      <x:c r="B13" s="2" t="str">
        <x:v>US$0.05</x:v>
      </x:c>
      <x:c r="C13" s="2" t="str">
        <x:v>Available; post-usage tripwire</x:v>
      </x:c>
      <x:c r="D13" s="2"/>
      <x:c r="E13" s="2"/>
      <x:c r="F13" s="2"/>
    </x:row>
    <x:row r="14" ht="15" hidden="0" customHeight="1">
      <x:c r="A14" s="2" t="str">
        <x:v>Per-member D5 budget</x:v>
      </x:c>
      <x:c r="B14" s="2" t="str">
        <x:v>US$3.00</x:v>
      </x:c>
      <x:c r="C14" s="2" t="str">
        <x:v>Available</x:v>
      </x:c>
      <x:c r="D14" s="2"/>
      <x:c r="E14" s="2"/>
      <x:c r="F14" s="2"/>
    </x:row>
    <x:row r="15" ht="15" hidden="0" customHeight="1">
      <x:c r="A15" s="2" t="str">
        <x:v>Monthly per-user limit</x:v>
      </x:c>
      <x:c r="B15" s="2" t="str">
        <x:v>None implemented</x:v>
      </x:c>
      <x:c r="C15" s="2" t="str">
        <x:v>8,000 claims/month is planning volume, not a quota</x:v>
      </x:c>
      <x:c r="D15" s="2"/>
      <x:c r="E15" s="2"/>
      <x:c r="F15" s="2"/>
    </x:row>
    <x:row r="16" ht="15" hidden="0" customHeight="1">
      <x:c r="A16" s="2" t="str">
        <x:v>Layer 3 monthly cost</x:v>
      </x:c>
      <x:c r="B16" s="2" t="str">
        <x:v>US$200 base</x:v>
      </x:c>
      <x:c r="C16" s="2" t="str">
        <x:v>Owner-approved prototype scenario; not measured spend</x:v>
      </x:c>
      <x:c r="D16" s="2"/>
      <x:c r="E16" s="2"/>
      <x:c r="F16" s="2"/>
    </x:row>
    <x:row r="17" ht="15" hidden="0" customHeight="1">
      <x:c r="A17" s="2"/>
      <x:c r="B17" s="2"/>
      <x:c r="C17" s="2"/>
      <x:c r="D17" s="2"/>
      <x:c r="E17" s="2"/>
      <x:c r="F17" s="2"/>
    </x:row>
    <x:row r="18" ht="15" hidden="0" customHeight="1">
      <x:c r="A18" s="31" t="str">
        <x:v>Evidence sources</x:v>
      </x:c>
      <x:c r="B18" s="32" t="str"/>
      <x:c r="C18" s="32" t="str"/>
      <x:c r="D18" s="32" t="str"/>
      <x:c r="E18" s="32" t="str"/>
      <x:c r="F18" s="33" t="str"/>
    </x:row>
    <x:row r="19" ht="34" hidden="0" customHeight="1">
      <x:c r="A19" s="2" t="str">
        <x:v>Success and judging</x:v>
      </x:c>
      <x:c r="B19" s="34" t="str">
        <x:v>D5_FINAL_REPORT.md; D5_EVIDENCE_MANIFEST.json</x:v>
      </x:c>
      <x:c r="C19" s="2"/>
      <x:c r="D19" s="2"/>
      <x:c r="E19" s="2"/>
      <x:c r="F19" s="2"/>
    </x:row>
    <x:row r="20" ht="34" hidden="0" customHeight="1">
      <x:c r="A20" s="2" t="str">
        <x:v>Measured D5 usage</x:v>
      </x:c>
      <x:c r="B20" s="34" t="str">
        <x:v>Updated D5_COST_INPUTS.json; top-level overall outcomes used</x:v>
      </x:c>
      <x:c r="C20" s="2"/>
      <x:c r="D20" s="2"/>
      <x:c r="E20" s="2"/>
      <x:c r="F20" s="2"/>
    </x:row>
    <x:row r="21" ht="34" hidden="0" customHeight="1">
      <x:c r="A21" s="2" t="str">
        <x:v>Layer 3 assumption</x:v>
      </x:c>
      <x:c r="B21" s="34" t="str">
        <x:v>D6_OWNER_DECISION_EN.md; LAYER3_COST_ASSUMPTIONS.json</x:v>
      </x:c>
      <x:c r="C21" s="2"/>
      <x:c r="D21" s="2"/>
      <x:c r="E21" s="2"/>
      <x:c r="F21" s="2"/>
    </x:row>
    <x:row r="22" ht="34" hidden="0" customHeight="1">
      <x:c r="A22" s="2" t="str">
        <x:v>Tool block and parallel run</x:v>
      </x:c>
      <x:c r="B22" s="34" t="str">
        <x:v>Part1_CHEN_MINGSONG D2(a)/D2(c) files; CHEN reply</x:v>
      </x:c>
      <x:c r="C22" s="2"/>
      <x:c r="D22" s="2"/>
      <x:c r="E22" s="2"/>
      <x:c r="F22" s="2"/>
    </x:row>
    <x:row r="23" ht="34" hidden="0" customHeight="1">
      <x:c r="A23" s="2" t="str">
        <x:v>Observation and controls</x:v>
      </x:c>
      <x:c r="B23" s="34" t="str">
        <x:v>D2(b)/D3 files; ZHOU reply</x:v>
      </x:c>
      <x:c r="C23" s="2"/>
      <x:c r="D23" s="2"/>
      <x:c r="E23" s="2"/>
      <x:c r="F23" s="2"/>
    </x:row>
    <x:row r="24" ht="15" hidden="0" customHeight="1">
      <x:c r="A24" s="2"/>
      <x:c r="B24" s="2"/>
      <x:c r="C24" s="2"/>
      <x:c r="D24" s="2"/>
      <x:c r="E24" s="2"/>
      <x:c r="F2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6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8" hidden="0" customHeight="1">
      <x:c r="A2" s="4" t="str">
        <x:v>D6 inputs and cost build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5" hidden="0" customHeight="1">
      <x:c r="A4" s="5" t="str">
        <x:v>Monthly claim volume</x:v>
      </x:c>
      <x:c r="B4" s="8" t="n">
        <x:v>8000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15" hidden="0" customHeight="1">
      <x:c r="A5" s="5" t="str">
        <x:v>Failure handling cost (USD)</x:v>
      </x:c>
      <x:c r="B5" s="9" t="n">
        <x:v>7.6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15" hidden="0" customHeight="1">
      <x:c r="A6" s="5" t="str">
        <x:v>Selected Layer 3 scenario (USD/month)</x:v>
      </x:c>
      <x:c r="B6" s="9" t="n">
        <x:v>200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15" hidden="0" customHeight="1">
      <x:c r="A7" s="5" t="str">
        <x:v>Monthly per-user limit</x:v>
      </x:c>
      <x:c r="B7" s="10" t="str">
        <x:v>None implemented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15" hidden="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15" hidden="0" customHeight="1">
      <x:c r="A9" s="19" t="str">
        <x:v>Member</x:v>
      </x:c>
      <x:c r="B9" s="20" t="str">
        <x:v>Model</x:v>
      </x:c>
      <x:c r="C9" s="20" t="str">
        <x:v>Prompt</x:v>
      </x:c>
      <x:c r="D9" s="20" t="str">
        <x:v>Tier</x:v>
      </x:c>
      <x:c r="E9" s="20" t="str">
        <x:v>Input $/M</x:v>
      </x:c>
      <x:c r="F9" s="20" t="str">
        <x:v>Output $/M</x:v>
      </x:c>
      <x:c r="G9" s="20" t="str">
        <x:v>Trials</x:v>
      </x:c>
      <x:c r="H9" s="20" t="str">
        <x:v>Turns</x:v>
      </x:c>
      <x:c r="I9" s="20" t="str">
        <x:v>Input tokens</x:v>
      </x:c>
      <x:c r="J9" s="20" t="str">
        <x:v>Output tokens</x:v>
      </x:c>
      <x:c r="K9" s="20" t="str">
        <x:v>Overall passed</x:v>
      </x:c>
      <x:c r="L9" s="20" t="str">
        <x:v>Agent spend</x:v>
      </x:c>
      <x:c r="M9" s="20" t="str">
        <x:v>Preflight spend</x:v>
      </x:c>
      <x:c r="N9" s="20" t="str">
        <x:v>Judge spend</x:v>
      </x:c>
      <x:c r="O9" s="20" t="str">
        <x:v>Success rate</x:v>
      </x:c>
      <x:c r="P9" s="20" t="str">
        <x:v>Avg turns</x:v>
      </x:c>
      <x:c r="Q9" s="20" t="str">
        <x:v>Layer 1 / task</x:v>
      </x:c>
      <x:c r="R9" s="20" t="str">
        <x:v>Layer 2 / task</x:v>
      </x:c>
      <x:c r="S9" s="21" t="str">
        <x:v>All-in / task</x:v>
      </x:c>
    </x:row>
    <x:row r="10" ht="15" hidden="0" customHeight="1">
      <x:c r="A10" s="6" t="str">
        <x:v>LI_LINGHAO</x:v>
      </x:c>
      <x:c r="B10" s="6" t="str">
        <x:v>deepseek/deepseek-v3.2</x:v>
      </x:c>
      <x:c r="C10" s="6" t="str">
        <x:v>v2</x:v>
      </x:c>
      <x:c r="D10" s="6" t="str">
        <x:v>cheap</x:v>
      </x:c>
      <x:c r="E10" s="23" t="n">
        <x:v>0.269</x:v>
      </x:c>
      <x:c r="F10" s="23" t="n">
        <x:v>0.4</x:v>
      </x:c>
      <x:c r="G10" s="24" t="n">
        <x:v>75</x:v>
      </x:c>
      <x:c r="H10" s="24" t="n">
        <x:v>383</x:v>
      </x:c>
      <x:c r="I10" s="24" t="n">
        <x:v>959130</x:v>
      </x:c>
      <x:c r="J10" s="24" t="n">
        <x:v>62138</x:v>
      </x:c>
      <x:c r="K10" s="24" t="n">
        <x:v>71</x:v>
      </x:c>
      <x:c r="L10" s="25" t="n">
        <x:v>0.28286117</x:v>
      </x:c>
      <x:c r="M10" s="25" t="n">
        <x:v>0.026086838</x:v>
      </x:c>
      <x:c r="N10" s="25" t="n">
        <x:v>0.0820508</x:v>
      </x:c>
      <x:c r="O10" s="26" t="n">
        <x:f>K10/G10</x:f>
        <x:v>0.9466666666666667</x:v>
      </x:c>
      <x:c r="P10" s="27" t="n">
        <x:f>H10/G10</x:f>
        <x:v>5.1066666666666665</x:v>
      </x:c>
      <x:c r="Q10" s="28" t="n">
        <x:f>((I10/G10)*E10+(J10/G10)*F10)/1000000</x:f>
        <x:v>0.0037714822666666667</x:v>
      </x:c>
      <x:c r="R10" s="28" t="n">
        <x:f>(1-O10)*$B$5</x:f>
        <x:v>0.4053333333333334</x:v>
      </x:c>
      <x:c r="S10" s="28" t="n">
        <x:f>Q10+R10</x:f>
        <x:v>0.40910481560000006</x:v>
      </x:c>
    </x:row>
    <x:row r="11" ht="15" hidden="0" customHeight="1">
      <x:c r="A11" s="6" t="str">
        <x:v>ZHOU_SIHAN</x:v>
      </x:c>
      <x:c r="B11" s="6" t="str">
        <x:v>deepseek/deepseek-v3.2</x:v>
      </x:c>
      <x:c r="C11" s="6" t="str">
        <x:v>v1</x:v>
      </x:c>
      <x:c r="D11" s="6" t="str">
        <x:v>cheap</x:v>
      </x:c>
      <x:c r="E11" s="23" t="n">
        <x:v>0.269</x:v>
      </x:c>
      <x:c r="F11" s="23" t="n">
        <x:v>0.4</x:v>
      </x:c>
      <x:c r="G11" s="24" t="n">
        <x:v>75</x:v>
      </x:c>
      <x:c r="H11" s="24" t="n">
        <x:v>398</x:v>
      </x:c>
      <x:c r="I11" s="24" t="n">
        <x:v>983574</x:v>
      </x:c>
      <x:c r="J11" s="24" t="n">
        <x:v>67043</x:v>
      </x:c>
      <x:c r="K11" s="24" t="n">
        <x:v>64</x:v>
      </x:c>
      <x:c r="L11" s="25" t="n">
        <x:v>0.291398606</x:v>
      </x:c>
      <x:c r="M11" s="25" t="n">
        <x:v>0.02622079</x:v>
      </x:c>
      <x:c r="N11" s="25" t="n">
        <x:v>0.0722228</x:v>
      </x:c>
      <x:c r="O11" s="26" t="n">
        <x:f>K11/G11</x:f>
        <x:v>0.8533333333333334</x:v>
      </x:c>
      <x:c r="P11" s="27" t="n">
        <x:f>H11/G11</x:f>
        <x:v>5.306666666666667</x:v>
      </x:c>
      <x:c r="Q11" s="28" t="n">
        <x:f>((I11/G11)*E11+(J11/G11)*F11)/1000000</x:f>
        <x:v>0.003885314746666667</x:v>
      </x:c>
      <x:c r="R11" s="28" t="n">
        <x:f>(1-O11)*$B$5</x:f>
        <x:v>1.1146666666666663</x:v>
      </x:c>
      <x:c r="S11" s="28" t="n">
        <x:f>Q11+R11</x:f>
        <x:v>1.118551981413333</x:v>
      </x:c>
    </x:row>
    <x:row r="12" ht="15" hidden="0" customHeight="1">
      <x:c r="A12" s="6" t="str">
        <x:v>CHEN_MINGSONG</x:v>
      </x:c>
      <x:c r="B12" s="6" t="str">
        <x:v>google/gemini-2.5-flash-lite</x:v>
      </x:c>
      <x:c r="C12" s="6" t="str">
        <x:v>v2</x:v>
      </x:c>
      <x:c r="D12" s="6" t="str">
        <x:v>cheap</x:v>
      </x:c>
      <x:c r="E12" s="23" t="n">
        <x:v>0.1</x:v>
      </x:c>
      <x:c r="F12" s="23" t="n">
        <x:v>0.4</x:v>
      </x:c>
      <x:c r="G12" s="24" t="n">
        <x:v>75</x:v>
      </x:c>
      <x:c r="H12" s="24" t="n">
        <x:v>460</x:v>
      </x:c>
      <x:c r="I12" s="24" t="n">
        <x:v>1231861</x:v>
      </x:c>
      <x:c r="J12" s="24" t="n">
        <x:v>59791</x:v>
      </x:c>
      <x:c r="K12" s="24" t="n">
        <x:v>3</x:v>
      </x:c>
      <x:c r="L12" s="25" t="n">
        <x:v>0.1471025</x:v>
      </x:c>
      <x:c r="M12" s="25" t="n">
        <x:v>0.0133753</x:v>
      </x:c>
      <x:c r="N12" s="25" t="n">
        <x:v>0.0047568</x:v>
      </x:c>
      <x:c r="O12" s="26" t="n">
        <x:f>K12/G12</x:f>
        <x:v>0.04</x:v>
      </x:c>
      <x:c r="P12" s="27" t="n">
        <x:f>H12/G12</x:f>
        <x:v>6.133333333333334</x:v>
      </x:c>
      <x:c r="Q12" s="28" t="n">
        <x:f>((I12/G12)*E12+(J12/G12)*F12)/1000000</x:f>
        <x:v>0.0019613666666666667</x:v>
      </x:c>
      <x:c r="R12" s="28" t="n">
        <x:f>(1-O12)*$B$5</x:f>
        <x:v>7.295999999999999</x:v>
      </x:c>
      <x:c r="S12" s="28" t="n">
        <x:f>Q12+R12</x:f>
        <x:v>7.297961366666666</x:v>
      </x:c>
    </x:row>
    <x:row r="13" ht="15" hidden="0" customHeight="1">
      <x:c r="A13" s="6" t="str">
        <x:v>LU_XINZE</x:v>
      </x:c>
      <x:c r="B13" s="6" t="str">
        <x:v>qwen/qwen3-235b-a22b-2507</x:v>
      </x:c>
      <x:c r="C13" s="6" t="str">
        <x:v>v2</x:v>
      </x:c>
      <x:c r="D13" s="6" t="str">
        <x:v>cheap</x:v>
      </x:c>
      <x:c r="E13" s="23" t="n">
        <x:v>0.0875</x:v>
      </x:c>
      <x:c r="F13" s="23" t="n">
        <x:v>0.35</x:v>
      </x:c>
      <x:c r="G13" s="24" t="n">
        <x:v>75</x:v>
      </x:c>
      <x:c r="H13" s="24" t="n">
        <x:v>260</x:v>
      </x:c>
      <x:c r="I13" s="24" t="n">
        <x:v>613991</x:v>
      </x:c>
      <x:c r="J13" s="24" t="n">
        <x:v>54714</x:v>
      </x:c>
      <x:c r="K13" s="24" t="n">
        <x:v>11</x:v>
      </x:c>
      <x:c r="L13" s="25" t="n">
        <x:v>0.0728741125</x:v>
      </x:c>
      <x:c r="M13" s="25" t="n">
        <x:v>0.0058051</x:v>
      </x:c>
      <x:c r="N13" s="25" t="n">
        <x:v>0.014962</x:v>
      </x:c>
      <x:c r="O13" s="26" t="n">
        <x:f>K13/G13</x:f>
        <x:v>0.14666666666666667</x:v>
      </x:c>
      <x:c r="P13" s="27" t="n">
        <x:f>H13/G13</x:f>
        <x:v>3.466666666666667</x:v>
      </x:c>
      <x:c r="Q13" s="28" t="n">
        <x:f>((I13/G13)*E13+(J13/G13)*F13)/1000000</x:f>
        <x:v>0.0009716548333333333</x:v>
      </x:c>
      <x:c r="R13" s="28" t="n">
        <x:f>(1-O13)*$B$5</x:f>
        <x:v>6.485333333333332</x:v>
      </x:c>
      <x:c r="S13" s="28" t="n">
        <x:f>Q13+R13</x:f>
        <x:v>6.4863049881666655</x:v>
      </x:c>
    </x:row>
    <x:row r="14" ht="15" hidden="0" customHeight="1">
      <x:c r="A14" s="6" t="str">
        <x:v>WANG_YI</x:v>
      </x:c>
      <x:c r="B14" s="6" t="str">
        <x:v>mistralai/mistral-small-3.2-24b-instruct</x:v>
      </x:c>
      <x:c r="C14" s="6" t="str">
        <x:v>v2</x:v>
      </x:c>
      <x:c r="D14" s="6" t="str">
        <x:v>cheap</x:v>
      </x:c>
      <x:c r="E14" s="23" t="n">
        <x:v>0.09375</x:v>
      </x:c>
      <x:c r="F14" s="23" t="n">
        <x:v>0.25</x:v>
      </x:c>
      <x:c r="G14" s="24" t="n">
        <x:v>75</x:v>
      </x:c>
      <x:c r="H14" s="24" t="n">
        <x:v>320</x:v>
      </x:c>
      <x:c r="I14" s="24" t="n">
        <x:v>800977</x:v>
      </x:c>
      <x:c r="J14" s="24" t="n">
        <x:v>46126</x:v>
      </x:c>
      <x:c r="K14" s="24" t="n">
        <x:v>23</x:v>
      </x:c>
      <x:c r="L14" s="25" t="n">
        <x:v>0.08662309375</x:v>
      </x:c>
      <x:c r="M14" s="25" t="n">
        <x:v>0.007353875</x:v>
      </x:c>
      <x:c r="N14" s="25" t="n">
        <x:v>0.0305852</x:v>
      </x:c>
      <x:c r="O14" s="26" t="n">
        <x:f>K14/G14</x:f>
        <x:v>0.30666666666666664</x:v>
      </x:c>
      <x:c r="P14" s="27" t="n">
        <x:f>H14/G14</x:f>
        <x:v>4.266666666666667</x:v>
      </x:c>
      <x:c r="Q14" s="28" t="n">
        <x:f>((I14/G14)*E14+(J14/G14)*F14)/1000000</x:f>
        <x:v>0.0011549745833333333</x:v>
      </x:c>
      <x:c r="R14" s="28" t="n">
        <x:f>(1-O14)*$B$5</x:f>
        <x:v>5.269333333333333</x:v>
      </x:c>
      <x:c r="S14" s="28" t="n">
        <x:f>Q14+R14</x:f>
        <x:v>5.270488307916667</x:v>
      </x:c>
    </x:row>
    <x:row r="15" ht="15" hidden="0" customHeight="1">
      <x:c r="A15" s="6" t="str">
        <x:v>DAI_MINFEI</x:v>
      </x:c>
      <x:c r="B15" s="6" t="str">
        <x:v>anthropic/claude-haiku-4.5</x:v>
      </x:c>
      <x:c r="C15" s="6" t="str">
        <x:v>v2</x:v>
      </x:c>
      <x:c r="D15" s="6" t="str">
        <x:v>mid</x:v>
      </x:c>
      <x:c r="E15" s="23" t="n">
        <x:v>1</x:v>
      </x:c>
      <x:c r="F15" s="23" t="n">
        <x:v>5</x:v>
      </x:c>
      <x:c r="G15" s="24" t="n">
        <x:v>75</x:v>
      </x:c>
      <x:c r="H15" s="24" t="n">
        <x:v>342</x:v>
      </x:c>
      <x:c r="I15" s="24" t="n">
        <x:v>949938</x:v>
      </x:c>
      <x:c r="J15" s="24" t="n">
        <x:v>81259</x:v>
      </x:c>
      <x:c r="K15" s="24" t="n">
        <x:v>28</x:v>
      </x:c>
      <x:c r="L15" s="25" t="n">
        <x:v>1.356233</x:v>
      </x:c>
      <x:c r="M15" s="25" t="n">
        <x:v>0.103667</x:v>
      </x:c>
      <x:c r="N15" s="25" t="n">
        <x:v>0.0386664</x:v>
      </x:c>
      <x:c r="O15" s="26" t="n">
        <x:f>K15/G15</x:f>
        <x:v>0.37333333333333335</x:v>
      </x:c>
      <x:c r="P15" s="27" t="n">
        <x:f>H15/G15</x:f>
        <x:v>4.56</x:v>
      </x:c>
      <x:c r="Q15" s="28" t="n">
        <x:f>((I15/G15)*E15+(J15/G15)*F15)/1000000</x:f>
        <x:v>0.018083106666666668</x:v>
      </x:c>
      <x:c r="R15" s="28" t="n">
        <x:f>(1-O15)*$B$5</x:f>
        <x:v>4.762666666666667</x:v>
      </x:c>
      <x:c r="S15" s="28" t="n">
        <x:f>Q15+R15</x:f>
        <x:v>4.7807497733333335</x:v>
      </x:c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15" hidden="0" customHeight="1">
      <x:c r="A17" s="31" t="str">
        <x:v>Source notes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3" t="str"/>
    </x:row>
    <x:row r="18" ht="15" hidden="0" customHeight="1">
      <x:c r="A18" s="2" t="str">
        <x:v>Final pass values</x:v>
      </x:c>
      <x:c r="B18" s="34" t="str">
        <x:v>D5_FINAL_REPORT.md and D5_EVIDENCE_MANIFEST.json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15" hidden="0" customHeight="1">
      <x:c r="A19" s="2" t="str">
        <x:v>Tokens, turns, agent spend</x:v>
      </x:c>
      <x:c r="B19" s="34" t="str">
        <x:v>Updated D5_COST_INPUTS.json; corrected top-level outcomes used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15" hidden="0" customHeight="1">
      <x:c r="A20" s="2" t="str">
        <x:v>Prices and member budget</x:v>
      </x:c>
      <x:c r="B20" s="34" t="str">
        <x:v>MODEL_ASSIGNMENT.csv; prices checked 2026-09-16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15" hidden="0" customHeight="1">
      <x:c r="A21" s="2" t="str">
        <x:v>Problem A volume/failure cost</x:v>
      </x:c>
      <x:c r="B21" s="34" t="str">
        <x:v>PE6201_A2_Applied_AI_System.pdf, Appendix A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15" hidden="0" customHeight="1">
      <x:c r="A22" s="2" t="str">
        <x:v>Layer 3</x:v>
      </x:c>
      <x:c r="B22" s="34" t="str">
        <x:v>$200/month owner-approved prototype scenario; not a measured invoice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15" hidden="0" customHeight="1">
      <x:c r="A23" s="2" t="str">
        <x:v>Judge cost</x:v>
      </x:c>
      <x:c r="B23" s="34" t="str">
        <x:v>Evaluation expense, excluded from production Layer 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15" hidden="0" customHeight="1">
      <x:c r="A24" s="2" t="str">
        <x:v>Preflight cost</x:v>
      </x:c>
      <x:c r="B24" s="34" t="str">
        <x:v>Measured preflight observed_cost_usd from the frozen return packages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</x:sheetData>
  <x:pageMargins left="0.7" right="0.7" top="0.75" bottom="0.75" header="0.3" footer="0.3"/>
</x:worksheet>
</file>